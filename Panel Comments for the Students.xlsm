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i\Desktop\2022 Reg\sample supervisor\"/>
    </mc:Choice>
  </mc:AlternateContent>
  <xr:revisionPtr revIDLastSave="0" documentId="13_ncr:1_{4093E664-0368-4D5A-96CA-AA824F130A9D}" xr6:coauthVersionLast="47" xr6:coauthVersionMax="47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Panel Index Page" sheetId="7" r:id="rId1"/>
    <sheet name="Pro_Presentation_Panel" sheetId="8" r:id="rId2"/>
    <sheet name="Progress review I_panel" sheetId="13" r:id="rId3"/>
    <sheet name="Progress review II_Panel" sheetId="14" r:id="rId4"/>
    <sheet name="Final Presentation_Panel" sheetId="15" r:id="rId5"/>
    <sheet name="Final viva_panel" sheetId="16" r:id="rId6"/>
  </sheets>
  <externalReferences>
    <externalReference r:id="rId7"/>
  </externalReferences>
  <definedNames>
    <definedName name="east" localSheetId="4">#REF!</definedName>
    <definedName name="east" localSheetId="5">#REF!</definedName>
    <definedName name="east" localSheetId="1">#REF!</definedName>
    <definedName name="east" localSheetId="2">#REF!</definedName>
    <definedName name="east" localSheetId="3">#REF!</definedName>
    <definedName name="east">#REF!</definedName>
    <definedName name="index">'Panel Index Page'!$H$5</definedName>
    <definedName name="North_Actual" localSheetId="4">#REF!</definedName>
    <definedName name="North_Actual" localSheetId="5">#REF!</definedName>
    <definedName name="North_Actual" localSheetId="1">#REF!</definedName>
    <definedName name="North_Actual" localSheetId="2">#REF!</definedName>
    <definedName name="North_Actual" localSheetId="3">#REF!</definedName>
    <definedName name="North_Actual">#REF!</definedName>
    <definedName name="North_Budget" localSheetId="4">'Final Presentation_Panel'!$C$2</definedName>
    <definedName name="North_Budget" localSheetId="5">'Final viva_panel'!$C$2</definedName>
    <definedName name="North_Budget" localSheetId="1">Pro_Presentation_Panel!$C$2</definedName>
    <definedName name="North_Budget" localSheetId="2">'Progress review I_panel'!$C$2</definedName>
    <definedName name="North_Budget" localSheetId="3">'Progress review II_Panel'!$C$2</definedName>
    <definedName name="North_Budget">#REF!</definedName>
    <definedName name="South_Actual" localSheetId="4">#REF!</definedName>
    <definedName name="South_Actual" localSheetId="5">#REF!</definedName>
    <definedName name="South_Actual" localSheetId="1">#REF!</definedName>
    <definedName name="South_Actual" localSheetId="2">#REF!</definedName>
    <definedName name="South_Actual" localSheetId="3">#REF!</definedName>
    <definedName name="South_Actual">#REF!</definedName>
    <definedName name="South_Budget" localSheetId="4">#REF!</definedName>
    <definedName name="South_Budget" localSheetId="5">#REF!</definedName>
    <definedName name="South_Budget" localSheetId="1">#REF!</definedName>
    <definedName name="South_Budget" localSheetId="2">#REF!</definedName>
    <definedName name="South_Budget" localSheetId="3">#REF!</definedName>
    <definedName name="South_Budget">#REF!</definedName>
    <definedName name="west" localSheetId="4">#REF!</definedName>
    <definedName name="west" localSheetId="5">#REF!</definedName>
    <definedName name="west" localSheetId="1">#REF!</definedName>
    <definedName name="west" localSheetId="2">#REF!</definedName>
    <definedName name="west" localSheetId="3">#REF!</definedName>
    <definedName name="wes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16" l="1"/>
  <c r="F3" i="16"/>
  <c r="E3" i="16"/>
  <c r="D3" i="16"/>
  <c r="G3" i="15"/>
  <c r="F3" i="15"/>
  <c r="E3" i="15"/>
  <c r="D3" i="15"/>
  <c r="G3" i="14"/>
  <c r="F3" i="14"/>
  <c r="E3" i="14"/>
  <c r="D3" i="14"/>
  <c r="E3" i="13"/>
  <c r="F3" i="13"/>
  <c r="G3" i="13"/>
  <c r="D3" i="13"/>
  <c r="D2" i="16"/>
  <c r="D2" i="15"/>
  <c r="D2" i="14"/>
  <c r="D2" i="13"/>
  <c r="E2" i="8"/>
  <c r="D4" i="8"/>
  <c r="D4" i="16" s="1"/>
  <c r="F2" i="8" l="1"/>
  <c r="E2" i="16"/>
  <c r="E2" i="15"/>
  <c r="E2" i="14"/>
  <c r="E2" i="13"/>
  <c r="D4" i="15"/>
  <c r="D4" i="14"/>
  <c r="D4" i="13"/>
  <c r="G2" i="8" l="1"/>
  <c r="F2" i="16"/>
  <c r="F2" i="15"/>
  <c r="F2" i="14"/>
  <c r="F2" i="13"/>
  <c r="G2" i="16" l="1"/>
  <c r="G2" i="15"/>
  <c r="G2" i="14"/>
  <c r="G2" i="13"/>
</calcChain>
</file>

<file path=xl/sharedStrings.xml><?xml version="1.0" encoding="utf-8"?>
<sst xmlns="http://schemas.openxmlformats.org/spreadsheetml/2006/main" count="22" uniqueCount="6">
  <si>
    <t>Student View Of The Panel Comments</t>
  </si>
  <si>
    <t>Project ID</t>
  </si>
  <si>
    <t>022-000</t>
  </si>
  <si>
    <t>Student ID</t>
  </si>
  <si>
    <t>PanelName</t>
  </si>
  <si>
    <t xml:space="preserve"> Detailed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</si>
</sst>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3"/>
      <color theme="1"/>
      <name val="Times New Roman"/>
      <family val="1"/>
    </font>
    <font>
      <sz val="11"/>
      <color theme="1"/>
      <name val="Times New Roman"/>
      <family val="1"/>
    </font>
    <font>
      <b/>
      <sz val="22"/>
      <color rgb="FF002060"/>
      <name val="Bahnschrift"/>
      <family val="2"/>
    </font>
    <font>
      <sz val="11"/>
      <color rgb="FF002060"/>
      <name val="Bahnschrift"/>
      <family val="2"/>
    </font>
    <font>
      <sz val="12"/>
      <color rgb="FF002060"/>
      <name val="Times New Roman"/>
      <family val="1"/>
    </font>
    <font>
      <sz val="12"/>
      <color theme="9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/>
  </cellStyleXfs>
  <cellXfs count="29">
    <xf numFmtId="0" fontId="0" fillId="0" borderId="0" xfId="0"/>
    <xf numFmtId="0" fontId="1" fillId="0" borderId="1" xfId="1"/>
    <xf numFmtId="0" fontId="6" fillId="0" borderId="9" xfId="1" applyFont="1" applyBorder="1" applyAlignment="1">
      <alignment vertical="center"/>
    </xf>
    <xf numFmtId="0" fontId="6" fillId="0" borderId="1" xfId="1" applyFont="1" applyAlignment="1">
      <alignment vertical="center"/>
    </xf>
    <xf numFmtId="0" fontId="6" fillId="0" borderId="1" xfId="1" applyFont="1" applyAlignment="1">
      <alignment horizontal="left" vertical="center" indent="1"/>
    </xf>
    <xf numFmtId="0" fontId="6" fillId="0" borderId="10" xfId="1" applyFont="1" applyBorder="1" applyAlignment="1">
      <alignment vertical="center"/>
    </xf>
    <xf numFmtId="0" fontId="7" fillId="0" borderId="1" xfId="1" applyFont="1" applyAlignment="1">
      <alignment vertical="center"/>
    </xf>
    <xf numFmtId="0" fontId="6" fillId="0" borderId="11" xfId="1" applyFont="1" applyBorder="1" applyAlignment="1">
      <alignment vertical="center"/>
    </xf>
    <xf numFmtId="0" fontId="6" fillId="0" borderId="12" xfId="1" applyFont="1" applyBorder="1" applyAlignment="1">
      <alignment vertical="center"/>
    </xf>
    <xf numFmtId="0" fontId="6" fillId="0" borderId="12" xfId="1" applyFont="1" applyBorder="1" applyAlignment="1">
      <alignment horizontal="left" vertical="center" indent="1"/>
    </xf>
    <xf numFmtId="0" fontId="6" fillId="0" borderId="13" xfId="1" applyFont="1" applyBorder="1" applyAlignment="1">
      <alignment vertical="center"/>
    </xf>
    <xf numFmtId="0" fontId="3" fillId="0" borderId="1" xfId="1" applyFont="1"/>
    <xf numFmtId="0" fontId="9" fillId="2" borderId="2" xfId="1" applyFont="1" applyFill="1" applyBorder="1" applyAlignment="1">
      <alignment horizontal="center" vertical="center" wrapText="1"/>
    </xf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2" borderId="4" xfId="1" applyFont="1" applyFill="1" applyBorder="1" applyAlignment="1">
      <alignment horizontal="right" vertical="center" wrapText="1"/>
    </xf>
    <xf numFmtId="0" fontId="2" fillId="2" borderId="3" xfId="1" applyFont="1" applyFill="1" applyBorder="1" applyAlignment="1">
      <alignment horizontal="right" vertical="center"/>
    </xf>
    <xf numFmtId="0" fontId="2" fillId="2" borderId="4" xfId="1" applyFont="1" applyFill="1" applyBorder="1" applyAlignment="1">
      <alignment horizontal="right" vertical="center"/>
    </xf>
    <xf numFmtId="0" fontId="10" fillId="2" borderId="5" xfId="1" applyFont="1" applyFill="1" applyBorder="1" applyAlignment="1">
      <alignment horizontal="center" vertical="center" wrapText="1"/>
    </xf>
    <xf numFmtId="0" fontId="10" fillId="2" borderId="2" xfId="1" applyFont="1" applyFill="1" applyBorder="1" applyAlignment="1">
      <alignment horizontal="center" vertical="center" wrapText="1"/>
    </xf>
    <xf numFmtId="0" fontId="4" fillId="0" borderId="6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" xfId="1" applyFont="1" applyAlignment="1">
      <alignment horizontal="center"/>
    </xf>
    <xf numFmtId="0" fontId="5" fillId="0" borderId="10" xfId="1" applyFont="1" applyBorder="1" applyAlignment="1">
      <alignment horizontal="center"/>
    </xf>
    <xf numFmtId="0" fontId="8" fillId="0" borderId="2" xfId="1" applyFont="1" applyBorder="1" applyAlignment="1">
      <alignment horizontal="center" vertical="center" wrapText="1"/>
    </xf>
    <xf numFmtId="0" fontId="8" fillId="0" borderId="14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63"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C6E0B4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C6E0B4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C6E0B4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C6E0B4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</dxfs>
  <tableStyles count="0" defaultTableStyle="TableStyleMedium2" defaultPivotStyle="PivotStyleLight16"/>
  <colors>
    <mruColors>
      <color rgb="FF89BF65"/>
      <color rgb="FFCFC507"/>
      <color rgb="FFD9D9D9"/>
      <color rgb="FFFCE4D6"/>
      <color rgb="FFFFF2CC"/>
      <color rgb="FFC6E0B4"/>
      <color rgb="FFBDD7EE"/>
      <color rgb="FFE7F8FD"/>
      <color rgb="FFEEC2EC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Final Presentation_Panel'!North_Budget"/><Relationship Id="rId2" Type="http://schemas.openxmlformats.org/officeDocument/2006/relationships/hyperlink" Target="#'Progress review II_Panel'!A1"/><Relationship Id="rId1" Type="http://schemas.openxmlformats.org/officeDocument/2006/relationships/hyperlink" Target="#'Progress review I_panel'!A1"/><Relationship Id="rId5" Type="http://schemas.openxmlformats.org/officeDocument/2006/relationships/hyperlink" Target="#Pro_Presentation_Panel!A1"/><Relationship Id="rId4" Type="http://schemas.openxmlformats.org/officeDocument/2006/relationships/hyperlink" Target="#'Final viva_panel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dex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dex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dex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ex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dex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399971</xdr:colOff>
      <xdr:row>6</xdr:row>
      <xdr:rowOff>92953</xdr:rowOff>
    </xdr:from>
    <xdr:to>
      <xdr:col>8</xdr:col>
      <xdr:colOff>600076</xdr:colOff>
      <xdr:row>7</xdr:row>
      <xdr:rowOff>295275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47971" y="1397878"/>
          <a:ext cx="2057480" cy="316622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Progress Review I</a:t>
          </a:r>
        </a:p>
      </xdr:txBody>
    </xdr:sp>
    <xdr:clientData/>
  </xdr:twoCellAnchor>
  <xdr:twoCellAnchor>
    <xdr:from>
      <xdr:col>9</xdr:col>
      <xdr:colOff>57071</xdr:colOff>
      <xdr:row>6</xdr:row>
      <xdr:rowOff>92953</xdr:rowOff>
    </xdr:from>
    <xdr:to>
      <xdr:col>12</xdr:col>
      <xdr:colOff>285751</xdr:colOff>
      <xdr:row>7</xdr:row>
      <xdr:rowOff>295275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29196" y="1397878"/>
          <a:ext cx="2057480" cy="316622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effectLst/>
              <a:latin typeface="Bahnschrift" panose="020B0502040204020203" pitchFamily="34" charset="0"/>
              <a:ea typeface="+mn-ea"/>
              <a:cs typeface="+mn-cs"/>
            </a:rPr>
            <a:t>Progress Review II</a:t>
          </a:r>
          <a:endParaRPr lang="en-US" sz="1400" b="1" i="0">
            <a:solidFill>
              <a:srgbClr val="002060"/>
            </a:solidFill>
            <a:effectLst/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12</xdr:col>
      <xdr:colOff>485696</xdr:colOff>
      <xdr:row>6</xdr:row>
      <xdr:rowOff>92953</xdr:rowOff>
    </xdr:from>
    <xdr:to>
      <xdr:col>16</xdr:col>
      <xdr:colOff>104776</xdr:colOff>
      <xdr:row>7</xdr:row>
      <xdr:rowOff>295275</xdr:rowOff>
    </xdr:to>
    <xdr:sp macro="" textlink="">
      <xdr:nvSpPr>
        <xdr:cNvPr id="4" name="Rounded 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886621" y="1397878"/>
          <a:ext cx="2057480" cy="316622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Final Presentation</a:t>
          </a:r>
        </a:p>
      </xdr:txBody>
    </xdr:sp>
    <xdr:clientData/>
  </xdr:twoCellAnchor>
  <xdr:twoCellAnchor>
    <xdr:from>
      <xdr:col>16</xdr:col>
      <xdr:colOff>276146</xdr:colOff>
      <xdr:row>6</xdr:row>
      <xdr:rowOff>92953</xdr:rowOff>
    </xdr:from>
    <xdr:to>
      <xdr:col>19</xdr:col>
      <xdr:colOff>533401</xdr:colOff>
      <xdr:row>7</xdr:row>
      <xdr:rowOff>295275</xdr:rowOff>
    </xdr:to>
    <xdr:sp macro="" textlink="">
      <xdr:nvSpPr>
        <xdr:cNvPr id="5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115471" y="1397878"/>
          <a:ext cx="2057480" cy="316622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Final Viva</a:t>
          </a:r>
        </a:p>
      </xdr:txBody>
    </xdr:sp>
    <xdr:clientData/>
  </xdr:twoCellAnchor>
  <xdr:twoCellAnchor>
    <xdr:from>
      <xdr:col>2</xdr:col>
      <xdr:colOff>66596</xdr:colOff>
      <xdr:row>6</xdr:row>
      <xdr:rowOff>92953</xdr:rowOff>
    </xdr:from>
    <xdr:to>
      <xdr:col>5</xdr:col>
      <xdr:colOff>295276</xdr:colOff>
      <xdr:row>7</xdr:row>
      <xdr:rowOff>295275</xdr:rowOff>
    </xdr:to>
    <xdr:sp macro="" textlink="">
      <xdr:nvSpPr>
        <xdr:cNvPr id="6" name="Rounded 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796" y="1397878"/>
          <a:ext cx="2057480" cy="316622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Proposal Presentation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895350</xdr:colOff>
      <xdr:row>5</xdr:row>
      <xdr:rowOff>85725</xdr:rowOff>
    </xdr:from>
    <xdr:to>
      <xdr:col>3</xdr:col>
      <xdr:colOff>723900</xdr:colOff>
      <xdr:row>7</xdr:row>
      <xdr:rowOff>19051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847850" y="4171950"/>
          <a:ext cx="1809750" cy="31432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Return to Index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895350</xdr:colOff>
      <xdr:row>5</xdr:row>
      <xdr:rowOff>85725</xdr:rowOff>
    </xdr:from>
    <xdr:to>
      <xdr:col>3</xdr:col>
      <xdr:colOff>723900</xdr:colOff>
      <xdr:row>7</xdr:row>
      <xdr:rowOff>19051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24050" y="4429125"/>
          <a:ext cx="1809750" cy="31432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Return to Index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895350</xdr:colOff>
      <xdr:row>5</xdr:row>
      <xdr:rowOff>85725</xdr:rowOff>
    </xdr:from>
    <xdr:to>
      <xdr:col>3</xdr:col>
      <xdr:colOff>723900</xdr:colOff>
      <xdr:row>7</xdr:row>
      <xdr:rowOff>19051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4050" y="4429125"/>
          <a:ext cx="1809750" cy="31432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Return to Index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895350</xdr:colOff>
      <xdr:row>5</xdr:row>
      <xdr:rowOff>85725</xdr:rowOff>
    </xdr:from>
    <xdr:to>
      <xdr:col>3</xdr:col>
      <xdr:colOff>723900</xdr:colOff>
      <xdr:row>7</xdr:row>
      <xdr:rowOff>19051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24050" y="4429125"/>
          <a:ext cx="1809750" cy="31432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Return to Index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895350</xdr:colOff>
      <xdr:row>5</xdr:row>
      <xdr:rowOff>85725</xdr:rowOff>
    </xdr:from>
    <xdr:to>
      <xdr:col>3</xdr:col>
      <xdr:colOff>723900</xdr:colOff>
      <xdr:row>7</xdr:row>
      <xdr:rowOff>19051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24050" y="4429125"/>
          <a:ext cx="1809750" cy="31432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 i="0">
              <a:solidFill>
                <a:srgbClr val="002060"/>
              </a:solidFill>
              <a:latin typeface="Bahnschrift" panose="020B0502040204020203" pitchFamily="34" charset="0"/>
            </a:rPr>
            <a:t>Return to Index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sliit.sharepoint.com/sites/TestSiteforMarkEnteringSystemV5/Shared%20Documents/Demo/Panel/Research%20Project%20SLIIT%20Faculty%20Mark%20Entering%20Panel%20Sheet%20V5%20-%20Grp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op_Present"/>
      <sheetName val="Prog_Rev_1"/>
      <sheetName val="Prog_Rev_2"/>
      <sheetName val="Fina_Present"/>
      <sheetName val="VIVA"/>
    </sheetNames>
    <sheetDataSet>
      <sheetData sheetId="0">
        <row r="2">
          <cell r="M2" t="str">
            <v xml:space="preserve">                      Marking Dashboard of E-Learning Panel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T11"/>
  <sheetViews>
    <sheetView showGridLines="0" zoomScale="80" zoomScaleNormal="80" workbookViewId="0">
      <selection activeCell="J24" sqref="J24"/>
    </sheetView>
  </sheetViews>
  <sheetFormatPr defaultColWidth="9" defaultRowHeight="14.45"/>
  <cols>
    <col min="1" max="6" width="9" style="1"/>
    <col min="7" max="7" width="7.875" style="1" customWidth="1"/>
    <col min="8" max="8" width="8.5" style="1" customWidth="1"/>
    <col min="9" max="9" width="8.75" style="1" customWidth="1"/>
    <col min="10" max="18" width="9" style="1"/>
    <col min="19" max="19" width="7.625" style="1" customWidth="1"/>
    <col min="20" max="16384" width="9" style="1"/>
  </cols>
  <sheetData>
    <row r="3" spans="3:20" ht="15" thickBot="1"/>
    <row r="4" spans="3:20">
      <c r="C4" s="20" t="s">
        <v>0</v>
      </c>
      <c r="D4" s="21"/>
      <c r="E4" s="21"/>
      <c r="F4" s="21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3"/>
    </row>
    <row r="5" spans="3:20">
      <c r="C5" s="24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6"/>
    </row>
    <row r="6" spans="3:20" s="6" customFormat="1" ht="27" customHeight="1">
      <c r="C6" s="2"/>
      <c r="D6" s="3"/>
      <c r="E6" s="3"/>
      <c r="F6" s="3"/>
      <c r="G6" s="3"/>
      <c r="H6" s="3"/>
      <c r="I6" s="4"/>
      <c r="J6" s="3"/>
      <c r="K6" s="3"/>
      <c r="L6" s="3"/>
      <c r="M6" s="3"/>
      <c r="N6" s="3"/>
      <c r="O6" s="3"/>
      <c r="P6" s="3"/>
      <c r="Q6" s="3"/>
      <c r="R6" s="3"/>
      <c r="S6" s="3"/>
      <c r="T6" s="5"/>
    </row>
    <row r="7" spans="3:20" s="6" customFormat="1" ht="9" customHeight="1">
      <c r="C7" s="2"/>
      <c r="D7" s="3"/>
      <c r="E7" s="3"/>
      <c r="F7" s="3"/>
      <c r="G7" s="3"/>
      <c r="H7" s="3"/>
      <c r="I7" s="4"/>
      <c r="J7" s="3"/>
      <c r="K7" s="3"/>
      <c r="L7" s="3"/>
      <c r="M7" s="3"/>
      <c r="N7" s="3"/>
      <c r="O7" s="3"/>
      <c r="P7" s="3"/>
      <c r="Q7" s="3"/>
      <c r="R7" s="3"/>
      <c r="S7" s="3"/>
      <c r="T7" s="5"/>
    </row>
    <row r="8" spans="3:20" s="6" customFormat="1" ht="48" customHeight="1">
      <c r="C8" s="2"/>
      <c r="D8" s="3"/>
      <c r="E8" s="3"/>
      <c r="F8" s="3"/>
      <c r="G8" s="3"/>
      <c r="H8" s="3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5"/>
    </row>
    <row r="9" spans="3:20" s="6" customFormat="1" ht="16.149999999999999" thickBot="1">
      <c r="C9" s="7"/>
      <c r="D9" s="8"/>
      <c r="E9" s="8"/>
      <c r="F9" s="8"/>
      <c r="G9" s="8"/>
      <c r="H9" s="9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10"/>
    </row>
    <row r="10" spans="3:20"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3:20"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</row>
  </sheetData>
  <sheetProtection selectLockedCells="1"/>
  <mergeCells count="1">
    <mergeCell ref="C4:T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G5"/>
  <sheetViews>
    <sheetView showGridLines="0" zoomScale="80" zoomScaleNormal="80" workbookViewId="0">
      <selection activeCell="D2" sqref="D2:G4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57.75" customHeight="1" thickBot="1"/>
    <row r="2" spans="3:7" ht="20.25" customHeight="1">
      <c r="C2" s="16" t="s">
        <v>1</v>
      </c>
      <c r="D2" s="18" t="s">
        <v>2</v>
      </c>
      <c r="E2" s="18" t="str">
        <f>VLOOKUP(D2,D2:G2,1,FALSE)</f>
        <v>022-000</v>
      </c>
      <c r="F2" s="18" t="str">
        <f t="shared" ref="F2:G2" si="0">VLOOKUP(E2,E2:H2,1,FALSE)</f>
        <v>022-000</v>
      </c>
      <c r="G2" s="18" t="str">
        <f t="shared" si="0"/>
        <v>022-000</v>
      </c>
    </row>
    <row r="3" spans="3:7" ht="20.25" customHeight="1">
      <c r="C3" s="17" t="s">
        <v>3</v>
      </c>
      <c r="D3" s="19"/>
      <c r="E3" s="19"/>
      <c r="F3" s="19"/>
      <c r="G3" s="19"/>
    </row>
    <row r="4" spans="3:7" ht="20.25" customHeight="1">
      <c r="C4" s="14" t="s">
        <v>4</v>
      </c>
      <c r="D4" s="27" t="str">
        <f>[1]Dashboard!$M$2</f>
        <v xml:space="preserve">                      Marking Dashboard of E-Learning Panel</v>
      </c>
      <c r="E4" s="27"/>
      <c r="F4" s="27"/>
      <c r="G4" s="28"/>
    </row>
    <row r="5" spans="3:7" ht="74.25" customHeight="1">
      <c r="C5" s="15" t="s">
        <v>5</v>
      </c>
      <c r="D5" s="12"/>
      <c r="E5" s="12"/>
      <c r="F5" s="12"/>
      <c r="G5" s="12"/>
    </row>
  </sheetData>
  <sheetProtection selectLockedCells="1"/>
  <mergeCells count="1">
    <mergeCell ref="D4:G4"/>
  </mergeCells>
  <conditionalFormatting sqref="D5:G5 D2:G3">
    <cfRule type="expression" dxfId="62" priority="160">
      <formula>FIND("IM",#REF!)</formula>
    </cfRule>
    <cfRule type="expression" dxfId="61" priority="161">
      <formula>FIND("CS",#REF!)</formula>
    </cfRule>
    <cfRule type="expression" dxfId="60" priority="162">
      <formula>FIND("ISE",#REF!)</formula>
    </cfRule>
    <cfRule type="expression" dxfId="59" priority="163">
      <formula>FIND("CSN",#REF!)</formula>
    </cfRule>
    <cfRule type="expression" dxfId="58" priority="164">
      <formula>FIND("DS",#REF!)</formula>
    </cfRule>
    <cfRule type="expression" dxfId="57" priority="165">
      <formula>FIND("IT",#REF!)</formula>
    </cfRule>
    <cfRule type="expression" dxfId="56" priority="166">
      <formula>FIND("SE",#REF!)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G5"/>
  <sheetViews>
    <sheetView showGridLines="0" tabSelected="1" zoomScale="80" zoomScaleNormal="80" workbookViewId="0">
      <selection activeCell="D2" sqref="D2:G4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63" customHeight="1" thickBot="1"/>
    <row r="2" spans="3:7" ht="20.25" customHeight="1">
      <c r="C2" s="16" t="s">
        <v>1</v>
      </c>
      <c r="D2" s="18" t="str">
        <f>VLOOKUP(Pro_Presentation_Panel!D2,Pro_Presentation_Panel!D2:G2,1,FALSE)</f>
        <v>022-000</v>
      </c>
      <c r="E2" s="18" t="str">
        <f>VLOOKUP(Pro_Presentation_Panel!E2,Pro_Presentation_Panel!E2:H2,1,FALSE)</f>
        <v>022-000</v>
      </c>
      <c r="F2" s="18" t="str">
        <f>VLOOKUP(Pro_Presentation_Panel!F2,Pro_Presentation_Panel!F2:I2,1,FALSE)</f>
        <v>022-000</v>
      </c>
      <c r="G2" s="18" t="str">
        <f>VLOOKUP(Pro_Presentation_Panel!G2,Pro_Presentation_Panel!G2:J2,1,FALSE)</f>
        <v>022-000</v>
      </c>
    </row>
    <row r="3" spans="3:7" ht="20.25" customHeight="1">
      <c r="C3" s="17" t="s">
        <v>3</v>
      </c>
      <c r="D3" s="19" t="e">
        <f>VLOOKUP(Pro_Presentation_Panel!D3,Pro_Presentation_Panel!D3:G3,1,FALSE)</f>
        <v>#N/A</v>
      </c>
      <c r="E3" s="19" t="e">
        <f>VLOOKUP(Pro_Presentation_Panel!E3,Pro_Presentation_Panel!E3:H3,1,FALSE)</f>
        <v>#N/A</v>
      </c>
      <c r="F3" s="19" t="e">
        <f>VLOOKUP(Pro_Presentation_Panel!F3,Pro_Presentation_Panel!F3:I3,1,FALSE)</f>
        <v>#N/A</v>
      </c>
      <c r="G3" s="19" t="e">
        <f>VLOOKUP(Pro_Presentation_Panel!G3,Pro_Presentation_Panel!G3:J3,1,FALSE)</f>
        <v>#N/A</v>
      </c>
    </row>
    <row r="4" spans="3:7" ht="20.25" customHeight="1">
      <c r="C4" s="14" t="s">
        <v>4</v>
      </c>
      <c r="D4" s="27" t="str">
        <f>VLOOKUP(Pro_Presentation_Panel!D4,Pro_Presentation_Panel!D4:J4,1,FALSE)</f>
        <v xml:space="preserve">                      Marking Dashboard of E-Learning Panel</v>
      </c>
      <c r="E4" s="27"/>
      <c r="F4" s="27"/>
      <c r="G4" s="28"/>
    </row>
    <row r="5" spans="3:7" ht="74.25" customHeight="1">
      <c r="C5" s="15" t="s">
        <v>5</v>
      </c>
      <c r="D5" s="12"/>
      <c r="E5" s="12"/>
      <c r="F5" s="12"/>
      <c r="G5" s="12"/>
    </row>
  </sheetData>
  <sheetProtection selectLockedCells="1"/>
  <mergeCells count="1">
    <mergeCell ref="D4:G4"/>
  </mergeCells>
  <conditionalFormatting sqref="D5:G5">
    <cfRule type="expression" dxfId="55" priority="170">
      <formula>FIND("IM",#REF!)</formula>
    </cfRule>
    <cfRule type="expression" dxfId="54" priority="171">
      <formula>FIND("CS",#REF!)</formula>
    </cfRule>
    <cfRule type="expression" dxfId="53" priority="172">
      <formula>FIND("ISE",#REF!)</formula>
    </cfRule>
    <cfRule type="expression" dxfId="52" priority="173">
      <formula>FIND("CSN",#REF!)</formula>
    </cfRule>
    <cfRule type="expression" dxfId="51" priority="174">
      <formula>FIND("DS",#REF!)</formula>
    </cfRule>
    <cfRule type="expression" dxfId="50" priority="175">
      <formula>FIND("IT",#REF!)</formula>
    </cfRule>
    <cfRule type="expression" dxfId="49" priority="176">
      <formula>FIND("SE",#REF!)</formula>
    </cfRule>
  </conditionalFormatting>
  <conditionalFormatting sqref="D2:G3">
    <cfRule type="expression" dxfId="48" priority="213">
      <formula>FIND("IM",#REF!)</formula>
    </cfRule>
    <cfRule type="expression" dxfId="47" priority="214">
      <formula>FIND("CS",#REF!)</formula>
    </cfRule>
    <cfRule type="expression" dxfId="46" priority="215">
      <formula>FIND("ISE",#REF!)</formula>
    </cfRule>
    <cfRule type="expression" dxfId="45" priority="216">
      <formula>FIND("CSN",#REF!)</formula>
    </cfRule>
    <cfRule type="expression" dxfId="44" priority="217">
      <formula>FIND("DS",#REF!)</formula>
    </cfRule>
    <cfRule type="expression" dxfId="43" priority="218">
      <formula>FIND("IT",#REF!)</formula>
    </cfRule>
    <cfRule type="expression" dxfId="42" priority="219">
      <formula>FIND("SE",#REF!)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G5"/>
  <sheetViews>
    <sheetView showGridLines="0" zoomScale="80" zoomScaleNormal="80" workbookViewId="0">
      <selection activeCell="D4" sqref="D4:G4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51.75" customHeight="1" thickBot="1"/>
    <row r="2" spans="3:7" ht="20.25" customHeight="1">
      <c r="C2" s="16" t="s">
        <v>1</v>
      </c>
      <c r="D2" s="18" t="str">
        <f>VLOOKUP(Pro_Presentation_Panel!D2,Pro_Presentation_Panel!D2:G2,1,FALSE)</f>
        <v>022-000</v>
      </c>
      <c r="E2" s="18" t="str">
        <f>VLOOKUP(Pro_Presentation_Panel!E2,Pro_Presentation_Panel!E2:H2,1,FALSE)</f>
        <v>022-000</v>
      </c>
      <c r="F2" s="18" t="str">
        <f>VLOOKUP(Pro_Presentation_Panel!F2,Pro_Presentation_Panel!F2:I2,1,FALSE)</f>
        <v>022-000</v>
      </c>
      <c r="G2" s="18" t="str">
        <f>VLOOKUP(Pro_Presentation_Panel!G2,Pro_Presentation_Panel!G2:J2,1,FALSE)</f>
        <v>022-000</v>
      </c>
    </row>
    <row r="3" spans="3:7" ht="20.25" customHeight="1">
      <c r="C3" s="17" t="s">
        <v>3</v>
      </c>
      <c r="D3" s="19" t="e">
        <f>VLOOKUP(Pro_Presentation_Panel!D3,Pro_Presentation_Panel!D3:G3,1,FALSE)</f>
        <v>#N/A</v>
      </c>
      <c r="E3" s="19" t="e">
        <f>VLOOKUP(Pro_Presentation_Panel!E3,Pro_Presentation_Panel!E3:H3,1,FALSE)</f>
        <v>#N/A</v>
      </c>
      <c r="F3" s="19" t="e">
        <f>VLOOKUP(Pro_Presentation_Panel!F3,Pro_Presentation_Panel!F3:I3,1,FALSE)</f>
        <v>#N/A</v>
      </c>
      <c r="G3" s="19" t="e">
        <f>VLOOKUP(Pro_Presentation_Panel!G3,Pro_Presentation_Panel!G3:J3,1,FALSE)</f>
        <v>#N/A</v>
      </c>
    </row>
    <row r="4" spans="3:7" ht="20.25" customHeight="1">
      <c r="C4" s="14" t="s">
        <v>4</v>
      </c>
      <c r="D4" s="27" t="str">
        <f>VLOOKUP(Pro_Presentation_Panel!D4,Pro_Presentation_Panel!D4:J4,1,FALSE)</f>
        <v xml:space="preserve">                      Marking Dashboard of E-Learning Panel</v>
      </c>
      <c r="E4" s="27"/>
      <c r="F4" s="27"/>
      <c r="G4" s="28"/>
    </row>
    <row r="5" spans="3:7" ht="74.25" customHeight="1">
      <c r="C5" s="15" t="s">
        <v>5</v>
      </c>
      <c r="D5" s="12"/>
      <c r="E5" s="12"/>
      <c r="F5" s="12"/>
      <c r="G5" s="12"/>
    </row>
  </sheetData>
  <sheetProtection selectLockedCells="1"/>
  <mergeCells count="1">
    <mergeCell ref="D4:G4"/>
  </mergeCells>
  <conditionalFormatting sqref="D5:G5">
    <cfRule type="expression" dxfId="41" priority="199">
      <formula>FIND("IM",#REF!)</formula>
    </cfRule>
    <cfRule type="expression" dxfId="40" priority="200">
      <formula>FIND("CS",#REF!)</formula>
    </cfRule>
    <cfRule type="expression" dxfId="39" priority="201">
      <formula>FIND("ISE",#REF!)</formula>
    </cfRule>
    <cfRule type="expression" dxfId="38" priority="202">
      <formula>FIND("CSN",#REF!)</formula>
    </cfRule>
    <cfRule type="expression" dxfId="37" priority="203">
      <formula>FIND("DS",#REF!)</formula>
    </cfRule>
    <cfRule type="expression" dxfId="36" priority="204">
      <formula>FIND("IT",#REF!)</formula>
    </cfRule>
    <cfRule type="expression" dxfId="35" priority="205">
      <formula>FIND("SE",#REF!)</formula>
    </cfRule>
  </conditionalFormatting>
  <conditionalFormatting sqref="D2:G3">
    <cfRule type="expression" dxfId="34" priority="227">
      <formula>FIND("IM",#REF!)</formula>
    </cfRule>
    <cfRule type="expression" dxfId="33" priority="228">
      <formula>FIND("CS",#REF!)</formula>
    </cfRule>
    <cfRule type="expression" dxfId="32" priority="229">
      <formula>FIND("ISE",#REF!)</formula>
    </cfRule>
    <cfRule type="expression" dxfId="31" priority="230">
      <formula>FIND("CSN",#REF!)</formula>
    </cfRule>
    <cfRule type="expression" dxfId="30" priority="231">
      <formula>FIND("DS",#REF!)</formula>
    </cfRule>
    <cfRule type="expression" dxfId="29" priority="232">
      <formula>FIND("IT",#REF!)</formula>
    </cfRule>
    <cfRule type="expression" dxfId="28" priority="233">
      <formula>FIND("SE",#REF!)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G5"/>
  <sheetViews>
    <sheetView showGridLines="0" zoomScale="80" zoomScaleNormal="80" workbookViewId="0">
      <selection activeCell="D4" sqref="D4:G4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57.75" customHeight="1" thickBot="1"/>
    <row r="2" spans="3:7" ht="20.25" customHeight="1">
      <c r="C2" s="13" t="s">
        <v>1</v>
      </c>
      <c r="D2" s="18" t="str">
        <f>VLOOKUP(Pro_Presentation_Panel!D2,Pro_Presentation_Panel!D2:G2,1,FALSE)</f>
        <v>022-000</v>
      </c>
      <c r="E2" s="18" t="str">
        <f>VLOOKUP(Pro_Presentation_Panel!E2,Pro_Presentation_Panel!E2:H2,1,FALSE)</f>
        <v>022-000</v>
      </c>
      <c r="F2" s="18" t="str">
        <f>VLOOKUP(Pro_Presentation_Panel!F2,Pro_Presentation_Panel!F2:I2,1,FALSE)</f>
        <v>022-000</v>
      </c>
      <c r="G2" s="18" t="str">
        <f>VLOOKUP(Pro_Presentation_Panel!G2,Pro_Presentation_Panel!G2:J2,1,FALSE)</f>
        <v>022-000</v>
      </c>
    </row>
    <row r="3" spans="3:7" ht="20.25" customHeight="1">
      <c r="C3" s="14" t="s">
        <v>3</v>
      </c>
      <c r="D3" s="19" t="e">
        <f>VLOOKUP(Pro_Presentation_Panel!D3,Pro_Presentation_Panel!D3:G3,1,FALSE)</f>
        <v>#N/A</v>
      </c>
      <c r="E3" s="19" t="e">
        <f>VLOOKUP(Pro_Presentation_Panel!E3,Pro_Presentation_Panel!E3:H3,1,FALSE)</f>
        <v>#N/A</v>
      </c>
      <c r="F3" s="19" t="e">
        <f>VLOOKUP(Pro_Presentation_Panel!F3,Pro_Presentation_Panel!F3:I3,1,FALSE)</f>
        <v>#N/A</v>
      </c>
      <c r="G3" s="19" t="e">
        <f>VLOOKUP(Pro_Presentation_Panel!G3,Pro_Presentation_Panel!G3:J3,1,FALSE)</f>
        <v>#N/A</v>
      </c>
    </row>
    <row r="4" spans="3:7" ht="20.25" customHeight="1">
      <c r="C4" s="14" t="s">
        <v>4</v>
      </c>
      <c r="D4" s="27" t="str">
        <f>VLOOKUP(Pro_Presentation_Panel!D4,Pro_Presentation_Panel!D4:J4,1,FALSE)</f>
        <v xml:space="preserve">                      Marking Dashboard of E-Learning Panel</v>
      </c>
      <c r="E4" s="27"/>
      <c r="F4" s="27"/>
      <c r="G4" s="28"/>
    </row>
    <row r="5" spans="3:7" ht="74.25" customHeight="1">
      <c r="C5" s="15" t="s">
        <v>5</v>
      </c>
      <c r="D5" s="12"/>
      <c r="E5" s="12"/>
      <c r="F5" s="12"/>
      <c r="G5" s="12"/>
    </row>
  </sheetData>
  <sheetProtection selectLockedCells="1"/>
  <mergeCells count="1">
    <mergeCell ref="D4:G4"/>
  </mergeCells>
  <conditionalFormatting sqref="D5:G5">
    <cfRule type="expression" dxfId="27" priority="199">
      <formula>FIND("IM",#REF!)</formula>
    </cfRule>
    <cfRule type="expression" dxfId="26" priority="200">
      <formula>FIND("CS",#REF!)</formula>
    </cfRule>
    <cfRule type="expression" dxfId="25" priority="201">
      <formula>FIND("ISE",#REF!)</formula>
    </cfRule>
    <cfRule type="expression" dxfId="24" priority="202">
      <formula>FIND("CSN",#REF!)</formula>
    </cfRule>
    <cfRule type="expression" dxfId="23" priority="203">
      <formula>FIND("DS",#REF!)</formula>
    </cfRule>
    <cfRule type="expression" dxfId="22" priority="204">
      <formula>FIND("IT",#REF!)</formula>
    </cfRule>
    <cfRule type="expression" dxfId="21" priority="205">
      <formula>FIND("SE",#REF!)</formula>
    </cfRule>
  </conditionalFormatting>
  <conditionalFormatting sqref="D2:G3">
    <cfRule type="expression" dxfId="20" priority="241">
      <formula>FIND("IM",#REF!)</formula>
    </cfRule>
    <cfRule type="expression" dxfId="19" priority="242">
      <formula>FIND("CS",#REF!)</formula>
    </cfRule>
    <cfRule type="expression" dxfId="18" priority="243">
      <formula>FIND("ISE",#REF!)</formula>
    </cfRule>
    <cfRule type="expression" dxfId="17" priority="244">
      <formula>FIND("CSN",#REF!)</formula>
    </cfRule>
    <cfRule type="expression" dxfId="16" priority="245">
      <formula>FIND("DS",#REF!)</formula>
    </cfRule>
    <cfRule type="expression" dxfId="15" priority="246">
      <formula>FIND("IT",#REF!)</formula>
    </cfRule>
    <cfRule type="expression" dxfId="14" priority="247">
      <formula>FIND("SE",#REF!)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C1:G5"/>
  <sheetViews>
    <sheetView showGridLines="0" zoomScale="80" zoomScaleNormal="80" workbookViewId="0">
      <selection activeCell="F15" sqref="F15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60" customHeight="1" thickBot="1"/>
    <row r="2" spans="3:7" ht="20.25" customHeight="1">
      <c r="C2" s="13" t="s">
        <v>1</v>
      </c>
      <c r="D2" s="18" t="str">
        <f>VLOOKUP(Pro_Presentation_Panel!D2,Pro_Presentation_Panel!D2:G2,1,FALSE)</f>
        <v>022-000</v>
      </c>
      <c r="E2" s="18" t="str">
        <f>VLOOKUP(Pro_Presentation_Panel!E2,Pro_Presentation_Panel!E2:H2,1,FALSE)</f>
        <v>022-000</v>
      </c>
      <c r="F2" s="18" t="str">
        <f>VLOOKUP(Pro_Presentation_Panel!F2,Pro_Presentation_Panel!F2:I2,1,FALSE)</f>
        <v>022-000</v>
      </c>
      <c r="G2" s="18" t="str">
        <f>VLOOKUP(Pro_Presentation_Panel!G2,Pro_Presentation_Panel!G2:J2,1,FALSE)</f>
        <v>022-000</v>
      </c>
    </row>
    <row r="3" spans="3:7" ht="20.25" customHeight="1">
      <c r="C3" s="14" t="s">
        <v>3</v>
      </c>
      <c r="D3" s="19" t="e">
        <f>VLOOKUP(Pro_Presentation_Panel!D3,Pro_Presentation_Panel!D3:G3,1,FALSE)</f>
        <v>#N/A</v>
      </c>
      <c r="E3" s="19" t="e">
        <f>VLOOKUP(Pro_Presentation_Panel!E3,Pro_Presentation_Panel!E3:H3,1,FALSE)</f>
        <v>#N/A</v>
      </c>
      <c r="F3" s="19" t="e">
        <f>VLOOKUP(Pro_Presentation_Panel!F3,Pro_Presentation_Panel!F3:I3,1,FALSE)</f>
        <v>#N/A</v>
      </c>
      <c r="G3" s="19" t="e">
        <f>VLOOKUP(Pro_Presentation_Panel!G3,Pro_Presentation_Panel!G3:J3,1,FALSE)</f>
        <v>#N/A</v>
      </c>
    </row>
    <row r="4" spans="3:7" ht="20.25" customHeight="1">
      <c r="C4" s="14" t="s">
        <v>4</v>
      </c>
      <c r="D4" s="27" t="str">
        <f>VLOOKUP(Pro_Presentation_Panel!D4,Pro_Presentation_Panel!D4:J4,1,FALSE)</f>
        <v xml:space="preserve">                      Marking Dashboard of E-Learning Panel</v>
      </c>
      <c r="E4" s="27"/>
      <c r="F4" s="27"/>
      <c r="G4" s="28"/>
    </row>
    <row r="5" spans="3:7" ht="74.25" customHeight="1">
      <c r="C5" s="15" t="s">
        <v>5</v>
      </c>
      <c r="D5" s="12"/>
      <c r="E5" s="12"/>
      <c r="F5" s="12"/>
      <c r="G5" s="12"/>
    </row>
  </sheetData>
  <sheetProtection selectLockedCells="1"/>
  <mergeCells count="1">
    <mergeCell ref="D4:G4"/>
  </mergeCells>
  <conditionalFormatting sqref="D5:G5">
    <cfRule type="expression" dxfId="13" priority="178">
      <formula>FIND("IM",#REF!)</formula>
    </cfRule>
    <cfRule type="expression" dxfId="12" priority="179">
      <formula>FIND("CS",#REF!)</formula>
    </cfRule>
    <cfRule type="expression" dxfId="11" priority="180">
      <formula>FIND("ISE",#REF!)</formula>
    </cfRule>
    <cfRule type="expression" dxfId="10" priority="181">
      <formula>FIND("CSN",#REF!)</formula>
    </cfRule>
    <cfRule type="expression" dxfId="9" priority="182">
      <formula>FIND("DS",#REF!)</formula>
    </cfRule>
    <cfRule type="expression" dxfId="8" priority="183">
      <formula>FIND("IT",#REF!)</formula>
    </cfRule>
    <cfRule type="expression" dxfId="7" priority="184">
      <formula>FIND("SE",#REF!)</formula>
    </cfRule>
  </conditionalFormatting>
  <conditionalFormatting sqref="D2:G3">
    <cfRule type="expression" dxfId="6" priority="255">
      <formula>FIND("IM",#REF!)</formula>
    </cfRule>
    <cfRule type="expression" dxfId="5" priority="256">
      <formula>FIND("CS",#REF!)</formula>
    </cfRule>
    <cfRule type="expression" dxfId="4" priority="257">
      <formula>FIND("ISE",#REF!)</formula>
    </cfRule>
    <cfRule type="expression" dxfId="3" priority="258">
      <formula>FIND("CSN",#REF!)</formula>
    </cfRule>
    <cfRule type="expression" dxfId="2" priority="259">
      <formula>FIND("DS",#REF!)</formula>
    </cfRule>
    <cfRule type="expression" dxfId="1" priority="260">
      <formula>FIND("IT",#REF!)</formula>
    </cfRule>
    <cfRule type="expression" dxfId="0" priority="261">
      <formula>FIND("SE",#REF!)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FC9859AF96E64A9727D8D6B570C786" ma:contentTypeVersion="15" ma:contentTypeDescription="Create a new document." ma:contentTypeScope="" ma:versionID="8758a8c0aa0ee5e2449a5e1b11cbea68">
  <xsd:schema xmlns:xsd="http://www.w3.org/2001/XMLSchema" xmlns:xs="http://www.w3.org/2001/XMLSchema" xmlns:p="http://schemas.microsoft.com/office/2006/metadata/properties" xmlns:ns2="db72c12f-87a4-44ab-bbc5-4cc8306b158a" xmlns:ns3="78bd6dbf-34e2-4ad5-a201-56ef37f8caa2" targetNamespace="http://schemas.microsoft.com/office/2006/metadata/properties" ma:root="true" ma:fieldsID="84ed940fd8a359e50ed93e6fbc1e5d56" ns2:_="" ns3:_="">
    <xsd:import namespace="db72c12f-87a4-44ab-bbc5-4cc8306b158a"/>
    <xsd:import namespace="78bd6dbf-34e2-4ad5-a201-56ef37f8caa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72c12f-87a4-44ab-bbc5-4cc8306b158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4a90b710-f748-4220-b362-4102ae550bf9}" ma:internalName="TaxCatchAll" ma:showField="CatchAllData" ma:web="db72c12f-87a4-44ab-bbc5-4cc8306b15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d6dbf-34e2-4ad5-a201-56ef37f8ca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c8a686f-bba2-44f2-819b-edf0b3003f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b72c12f-87a4-44ab-bbc5-4cc8306b158a" xsi:nil="true"/>
    <lcf76f155ced4ddcb4097134ff3c332f xmlns="78bd6dbf-34e2-4ad5-a201-56ef37f8caa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0924CF-C618-44D9-8923-A3871D6CC7AC}"/>
</file>

<file path=customXml/itemProps2.xml><?xml version="1.0" encoding="utf-8"?>
<ds:datastoreItem xmlns:ds="http://schemas.openxmlformats.org/officeDocument/2006/customXml" ds:itemID="{CCE3352C-2A81-4923-9982-6B806BCBCDA9}"/>
</file>

<file path=customXml/itemProps3.xml><?xml version="1.0" encoding="utf-8"?>
<ds:datastoreItem xmlns:ds="http://schemas.openxmlformats.org/officeDocument/2006/customXml" ds:itemID="{FBFC6CA6-01EB-4C89-9649-BD9531AE8E0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Dr. Dasuni Nawinna</dc:creator>
  <cp:keywords/>
  <dc:description/>
  <cp:lastModifiedBy>Liyanage M.L.A.P. it19120812</cp:lastModifiedBy>
  <cp:revision/>
  <dcterms:created xsi:type="dcterms:W3CDTF">2020-04-28T03:29:05Z</dcterms:created>
  <dcterms:modified xsi:type="dcterms:W3CDTF">2022-02-10T10:57:22Z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0x010100A5FC9859AF96E64A9727D8D6B570C786</vt:lpwstr>
  </property>
  <property fmtid="{D5CDD505-2E9C-101B-9397-08002B2CF9AE}" pid="3" name="MediaServiceImageTags">
    <vt:lpwstr/>
  </property>
</Properties>
</file>